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b4a03b46a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79571eef131b4c9c"/>
    <x:sheet xmlns:r="http://schemas.openxmlformats.org/officeDocument/2006/relationships" name="Examples" sheetId="2" r:id="R1f0e935daa9940bc"/>
    <x:sheet xmlns:r="http://schemas.openxmlformats.org/officeDocument/2006/relationships" name="Format Reference" sheetId="3" r:id="Rf4304888f460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i/>
      <x:sz val="9"/>
      <x:color rgb="FF666666"/>
      <x:name val="Carlito"/>
    </x:font>
    <x:font>
      <x:b/>
      <x:sz val="12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2F7E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CFE8F3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/>
    <x:xf numFmtId="0" fontId="0" fillId="12" borderId="1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4" borderId="1" xfId="0" applyNumberFormat="1" applyFont="1" applyFill="1" applyBorder="1"/>
    <x:xf numFmtId="0" fontId="6" fillId="14" borderId="1" xfId="0" applyNumberFormat="1" applyFont="1" applyFill="1" applyBorder="1"/>
    <x:xf numFmtId="0" fontId="6" fillId="14" borderId="1" xfId="0" applyNumberFormat="1" applyFont="1" applyFill="1" applyBorder="1" applyAlignment="1">
      <x:alignment wrapText="1"/>
    </x:xf>
    <x:xf numFmtId="0" fontId="6" fillId="1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horizontal="center" vertical="top" wrapText="1"/>
    </x:xf>
    <x:xf numFmtId="0" fontId="0" fillId="12" borderId="2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0" fillId="11" borderId="3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horizontal="center"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horizontal="center" vertical="top" wrapText="1"/>
    </x:xf>
    <x:xf numFmtId="0" fontId="0" fillId="11" borderId="1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horizontal="center" vertical="top" wrapText="1"/>
    </x:xf>
    <x:xf numFmtId="0" fontId="0" fillId="13" borderId="1" xfId="0" applyNumberFormat="1" applyFont="1" applyFill="1" applyBorder="1" applyAlignment="1">
      <x:alignment horizontal="center" vertical="top" wrapText="1"/>
    </x:xf>
    <x:xf numFmtId="0" fontId="0" fillId="11" borderId="2" xfId="0" applyNumberFormat="1" applyFont="1" applyFill="1" applyBorder="1" applyAlignment="1">
      <x:alignment horizontal="center" vertical="top" wrapText="1"/>
    </x:xf>
    <x:xf numFmtId="0" fontId="0" fillId="13" borderId="2" xfId="0" applyNumberFormat="1" applyFont="1" applyFill="1" applyBorder="1" applyAlignment="1">
      <x:alignment horizontal="center" vertical="top" wrapText="1"/>
    </x:xf>
    <x:xf numFmtId="0" fontId="0" fillId="11" borderId="3" xfId="0" applyNumberFormat="1" applyFont="1" applyFill="1" applyBorder="1" applyAlignment="1">
      <x:alignment horizontal="center" vertical="top" wrapText="1"/>
    </x:xf>
    <x:xf numFmtId="0" fontId="0" fillId="13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F2F7E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2F7E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2F7E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644b2fa924f4c" /><Relationship Type="http://schemas.openxmlformats.org/officeDocument/2006/relationships/theme" Target="/xl/theme/theme1.xml" Id="Rb98d447f6860411d" /><Relationship Type="http://schemas.openxmlformats.org/officeDocument/2006/relationships/sharedStrings" Target="/xl/sharedStrings.xml" Id="R7d70a11721e847e0" /><Relationship Type="http://schemas.openxmlformats.org/officeDocument/2006/relationships/worksheet" Target="/xl/worksheets/sheet1.xml" Id="R79571eef131b4c9c" /><Relationship Type="http://schemas.openxmlformats.org/officeDocument/2006/relationships/worksheet" Target="/xl/worksheets/sheet2.xml" Id="R1f0e935daa9940bc" /><Relationship Type="http://schemas.openxmlformats.org/officeDocument/2006/relationships/worksheet" Target="/xl/worksheets/sheet3.xml" Id="Rf4304888f46041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3" hidden="0" customWidth="1"/>
    <x:col min="8" max="8" width="14" hidden="0" customWidth="1"/>
    <x:col min="9" max="9" width="33" hidden="0" customWidth="1"/>
    <x:col min="10" max="10" width="30" hidden="0" customWidth="1"/>
  </x:cols>
  <x:sheetData>
    <x:row r="1" ht="30" customHeight="1">
      <x:c r="A1" s="5" t="str">
        <x:v>Splunk Log Format Quality Calculator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2" t="str">
        <x:v>Select a score from 0 to 4 for each criterion. The workbook calculates the total log-format quality rating automatically.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106" t="str">
        <x:v>Assessment Summary</x:v>
      </x:c>
      <x:c r="B4" s="106"/>
      <x:c r="D4" s="106" t="str">
        <x:v>Rating Scale</x:v>
      </x:c>
      <x:c r="E4" s="106" t="str">
        <x:v>Score</x:v>
      </x:c>
      <x:c r="F4" s="106" t="str">
        <x:v>Meaning</x:v>
      </x:c>
    </x:row>
    <x:row r="5">
      <x:c r="A5" s="107" t="str">
        <x:v>Criteria completed</x:v>
      </x:c>
      <x:c r="B5" s="108" t="str">
        <x:f>COUNT(H12:H17)&amp;"/6"</x:f>
        <x:v>0/6</x:v>
      </x:c>
      <x:c r="D5" s="114" t="str">
        <x:v>Exceptional</x:v>
      </x:c>
      <x:c r="E5" s="114" t="str">
        <x:v>22–24</x:v>
      </x:c>
      <x:c r="F5" s="114" t="str">
        <x:v>Production-ready and highly reliable</x:v>
      </x:c>
    </x:row>
    <x:row r="6">
      <x:c r="A6" s="107" t="str">
        <x:v>Total score</x:v>
      </x:c>
      <x:c r="B6" s="109" t="str">
        <x:f>IF(COUNT(H12:H17)=6,SUM(H12:H17),"")</x:f>
      </x:c>
      <x:c r="D6" s="115" t="str">
        <x:v>Good</x:v>
      </x:c>
      <x:c r="E6" s="115" t="str">
        <x:v>18–21</x:v>
      </x:c>
      <x:c r="F6" s="115" t="str">
        <x:v>Suitable with minor Splunk configuration</x:v>
      </x:c>
    </x:row>
    <x:row r="7">
      <x:c r="A7" s="107" t="str">
        <x:v>Overall rating</x:v>
      </x:c>
      <x:c r="B7" s="108" t="str">
        <x:f>IF(B6="","",IF(B6&gt;=22,"Exceptional",IF(B6&gt;=18,"Good",IF(B6&gt;=13,"Fair",IF(B6&gt;=7,"Poor","Fail")))))</x:f>
      </x:c>
      <x:c r="D7" s="116" t="str">
        <x:v>Fair</x:v>
      </x:c>
      <x:c r="E7" s="116" t="str">
        <x:v>13–17</x:v>
      </x:c>
      <x:c r="F7" s="116" t="str">
        <x:v>Usable, but controlled parsing is required</x:v>
      </x:c>
    </x:row>
    <x:row r="8">
      <x:c r="A8" s="107" t="str">
        <x:v>Interpretation</x:v>
      </x:c>
      <x:c r="B8" s="108" t="str">
        <x:f>IF(B6="","Complete all six criteria",IF(B6&gt;=22,"Production-ready and highly reliable",IF(B6&gt;=18,"Suitable for production with minor Splunk configuration",IF(B6&gt;=13,"Usable, but controlled parsing and validation are required",IF(B6&gt;=7,"Significant parsing and data-quality risk","Correct or transform the format before ingestion")))))</x:f>
        <x:v>Complete all six criteria</x:v>
      </x:c>
      <x:c r="D8" s="117" t="str">
        <x:v>Poor</x:v>
      </x:c>
      <x:c r="E8" s="117" t="str">
        <x:v>7–12</x:v>
      </x:c>
      <x:c r="F8" s="117" t="str">
        <x:v>Significant parsing and data-quality risk</x:v>
      </x:c>
    </x:row>
    <x:row r="9">
      <x:c r="D9" s="118" t="str">
        <x:v>Fail</x:v>
      </x:c>
      <x:c r="E9" s="118" t="str">
        <x:v>0–6</x:v>
      </x:c>
      <x:c r="F9" s="118" t="str">
        <x:v>Correct or transform before ingestion</x:v>
      </x:c>
    </x:row>
    <x:row r="11">
      <x:c r="A11" s="106" t="str">
        <x:v>Criterion</x:v>
      </x:c>
      <x:c r="B11" s="106" t="str">
        <x:v>4 — Exceptional</x:v>
      </x:c>
      <x:c r="C11" s="106" t="str">
        <x:v>3 — Good</x:v>
      </x:c>
      <x:c r="D11" s="106" t="str">
        <x:v>2 — Fair</x:v>
      </x:c>
      <x:c r="E11" s="106" t="str">
        <x:v>1 — Poor</x:v>
      </x:c>
      <x:c r="F11" s="106" t="str">
        <x:v>0 — Fail</x:v>
      </x:c>
      <x:c r="G11" s="106" t="str">
        <x:v>Guidance</x:v>
      </x:c>
      <x:c r="H11" s="106" t="str">
        <x:v>Selected Score</x:v>
      </x:c>
      <x:c r="I11" s="106" t="str">
        <x:v>Selected Assessment</x:v>
      </x:c>
      <x:c r="J11" s="106" t="str">
        <x:v>Notes / Evidence</x:v>
      </x:c>
    </x:row>
    <x:row r="12" ht="76" customHeight="1">
      <x:c r="A12" s="124" t="str">
        <x:v>Structural Consistency</x:v>
      </x:c>
      <x:c r="B12" s="125" t="str">
        <x:v>Every event follows one documented structure</x:v>
      </x:c>
      <x:c r="C12" s="125" t="str">
        <x:v>Consistent structure with rare exceptions</x:v>
      </x:c>
      <x:c r="D12" s="125" t="str">
        <x:v>Several predictable structural variants</x:v>
      </x:c>
      <x:c r="E12" s="125" t="str">
        <x:v>Frequent structural variation or optional sections that shift position</x:v>
      </x:c>
      <x:c r="F12" s="125" t="str">
        <x:v>No reliable event structure</x:v>
      </x:c>
      <x:c r="G12" s="126" t="str">
        <x:v>Assess whether the same source produces a stable, repeatable event structure.</x:v>
      </x:c>
      <x:c r="H12" s="127"/>
      <x:c r="I12" s="128" t="str">
        <x:f>IF(H12="","",INDEX(B12:F12,1,5-H12))</x:f>
      </x:c>
      <x:c r="J12" s="128"/>
    </x:row>
    <x:row r="13" ht="76" customHeight="1">
      <x:c r="A13" s="124" t="str">
        <x:v>Field Delimitation and Escaping</x:v>
      </x:c>
      <x:c r="B13" s="129" t="str">
        <x:v>Field boundaries, quoting and escaping are unambiguous</x:v>
      </x:c>
      <x:c r="C13" s="129" t="str">
        <x:v>Clear delimiters with rare malformed or escaping exceptions</x:v>
      </x:c>
      <x:c r="D13" s="129" t="str">
        <x:v>Requires documented quoting or escape rules but remains manageable</x:v>
      </x:c>
      <x:c r="E13" s="129" t="str">
        <x:v>Delimiters regularly appear unescaped inside values</x:v>
      </x:c>
      <x:c r="F13" s="129" t="str">
        <x:v>Fields cannot be separated reliably</x:v>
      </x:c>
      <x:c r="G13" s="126" t="str">
        <x:v>Check delimiters, quoting, embedded delimiters, escape characters and nested values.</x:v>
      </x:c>
      <x:c r="H13" s="127"/>
      <x:c r="I13" s="129" t="str">
        <x:f>IF(H13="","",INDEX(B13:F13,1,5-H13))</x:f>
      </x:c>
      <x:c r="J13" s="129"/>
    </x:row>
    <x:row r="14" ht="76" customHeight="1">
      <x:c r="A14" s="124" t="str">
        <x:v>Schema and Field Identification</x:v>
      </x:c>
      <x:c r="B14" s="125" t="str">
        <x:v>Stable named fields with documented data types</x:v>
      </x:c>
      <x:c r="C14" s="125" t="str">
        <x:v>Most fields are named and stable; minor optional or undocumented fields</x:v>
      </x:c>
      <x:c r="D14" s="125" t="str">
        <x:v>Positional fields or a partially documented schema</x:v>
      </x:c>
      <x:c r="E14" s="125" t="str">
        <x:v>Field meaning depends heavily on position, context or event subtype</x:v>
      </x:c>
      <x:c r="F14" s="125" t="str">
        <x:v>No identifiable schema or repeatable field meaning</x:v>
      </x:c>
      <x:c r="G14" s="126" t="str">
        <x:v>Assess whether field names, positions, types and optional fields are known.</x:v>
      </x:c>
      <x:c r="H14" s="127"/>
      <x:c r="I14" s="128" t="str">
        <x:f>IF(H14="","",INDEX(B14:F14,1,5-H14))</x:f>
      </x:c>
      <x:c r="J14" s="128"/>
    </x:row>
    <x:row r="15" ht="76" customHeight="1">
      <x:c r="A15" s="124" t="str">
        <x:v>Event Boundary Quality</x:v>
      </x:c>
      <x:c r="B15" s="129" t="str">
        <x:v>Each event has deterministic boundaries or explicit framing</x:v>
      </x:c>
      <x:c r="C15" s="129" t="str">
        <x:v>Minor line-breaking configuration is required</x:v>
      </x:c>
      <x:c r="D15" s="129" t="str">
        <x:v>Multiline events follow a predictable start or continuation pattern</x:v>
      </x:c>
      <x:c r="E15" s="129" t="str">
        <x:v>Boundaries depend on fragile heuristics or inconsistent line patterns</x:v>
      </x:c>
      <x:c r="F15" s="129" t="str">
        <x:v>Events cannot be separated reliably</x:v>
      </x:c>
      <x:c r="G15" s="126" t="str">
        <x:v>Check one-event-per-line behaviour, multiline records, framing and concatenation.</x:v>
      </x:c>
      <x:c r="H15" s="127"/>
      <x:c r="I15" s="129" t="str">
        <x:f>IF(H15="","",INDEX(B15:F15,1,5-H15))</x:f>
      </x:c>
      <x:c r="J15" s="129"/>
    </x:row>
    <x:row r="16" ht="76" customHeight="1">
      <x:c r="A16" s="124" t="str">
        <x:v>Encoding and Data Integrity</x:v>
      </x:c>
      <x:c r="B16" s="125" t="str">
        <x:v>UTF-8 or another documented encoding; no truncation or corruption</x:v>
      </x:c>
      <x:c r="C16" s="125" t="str">
        <x:v>Minor sanitisation is needed for rare malformed characters</x:v>
      </x:c>
      <x:c r="D16" s="125" t="str">
        <x:v>Mixed but manageable encoding, escaping or occasional truncation</x:v>
      </x:c>
      <x:c r="E16" s="125" t="str">
        <x:v>Frequent malformed characters, invalid escapes or truncated events</x:v>
      </x:c>
      <x:c r="F16" s="125" t="str">
        <x:v>Data is materially corrupted or unusable</x:v>
      </x:c>
      <x:c r="G16" s="126" t="str">
        <x:v>Review character encoding, control characters, truncation, invalid bytes and payload completeness.</x:v>
      </x:c>
      <x:c r="H16" s="127"/>
      <x:c r="I16" s="128" t="str">
        <x:f>IF(H16="","",INDEX(B16:F16,1,5-H16))</x:f>
      </x:c>
      <x:c r="J16" s="128"/>
    </x:row>
    <x:row r="17" ht="76" customHeight="1">
      <x:c r="A17" s="124" t="str">
        <x:v>Splunk Parsing Complexity</x:v>
      </x:c>
      <x:c r="B17" s="129" t="str">
        <x:v>Splunk parses and extracts the format deterministically with minimal configuration</x:v>
      </x:c>
      <x:c r="C17" s="129" t="str">
        <x:v>Requires normal sourcetype configuration or a supported add-on</x:v>
      </x:c>
      <x:c r="D17" s="129" t="str">
        <x:v>Requires several props.conf settings, custom field extractions or format-specific handling</x:v>
      </x:c>
      <x:c r="E17" s="129" t="str">
        <x:v>Requires preprocessing, a custom parser, multiple sourcetypes or source-specific branching</x:v>
      </x:c>
      <x:c r="F17" s="129" t="str">
        <x:v>Cannot be parsed reliably without changing the source format</x:v>
      </x:c>
      <x:c r="G17" s="126" t="str">
        <x:v>Score the operational complexity of line breaking, extraction, encoding and source-specific rules.</x:v>
      </x:c>
      <x:c r="H17" s="127"/>
      <x:c r="I17" s="129" t="str">
        <x:f>IF(H17="","",INDEX(B17:F17,1,5-H17))</x:f>
      </x:c>
      <x:c r="J17" s="129"/>
    </x:row>
    <x:row r="19" ht="28" customHeight="1">
      <x:c r="A19" s="101" t="str">
        <x:v>Assessment note: Score the actual source implementation, not only the format label. Poorly formed JSON can score below a consistent key=value format.</x:v>
      </x:c>
      <x:c r="B19" s="101"/>
      <x:c r="C19" s="101"/>
      <x:c r="D19" s="101"/>
      <x:c r="E19" s="101"/>
      <x:c r="F19" s="101"/>
      <x:c r="G19" s="101"/>
      <x:c r="H19" s="101"/>
      <x:c r="I19" s="101"/>
      <x:c r="J19" s="101"/>
    </x:row>
  </x:sheetData>
  <x:mergeCells>
    <x:mergeCell ref="A1:J1"/>
    <x:mergeCell ref="A2:J2"/>
    <x:mergeCell ref="A4:B4"/>
    <x:mergeCell ref="D4:F4"/>
    <x:mergeCell ref="A19:J19"/>
  </x:mergeCells>
  <x:conditionalFormatting sqref="H12:H17">
    <x:cfRule type="cellIs" dxfId="0" priority="1">
      <x:formula>4</x:formula>
    </x:cfRule>
    <x:cfRule type="cellIs" dxfId="1" priority="2">
      <x:formula>3</x:formula>
    </x:cfRule>
    <x:cfRule type="cellIs" dxfId="2" priority="3">
      <x:formula>2</x:formula>
    </x:cfRule>
    <x:cfRule type="cellIs" dxfId="3" priority="4">
      <x:formula>1</x:formula>
    </x:cfRule>
    <x:cfRule type="cellIs" dxfId="4" priority="5">
      <x:formula>0</x:formula>
    </x:cfRule>
  </x:conditionalFormatting>
  <x:conditionalFormatting sqref="B6:B6">
    <x:cfRule type="colorScale" priority="6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B7:B7">
    <x:cfRule type="expression" dxfId="5" priority="7">
      <x:formula>B7="Exceptional"</x:formula>
    </x:cfRule>
    <x:cfRule type="expression" dxfId="6" priority="8">
      <x:formula>B7="Good"</x:formula>
    </x:cfRule>
    <x:cfRule type="expression" dxfId="7" priority="9">
      <x:formula>B7="Fair"</x:formula>
    </x:cfRule>
    <x:cfRule type="expression" dxfId="8" priority="10">
      <x:formula>B7="Poor"</x:formula>
    </x:cfRule>
    <x:cfRule type="expression" dxfId="9" priority="11">
      <x:formula>B7="Fail"</x:formula>
    </x:cfRule>
  </x:conditionalFormatting>
  <x:dataValidations count="1">
    <x:dataValidation type="list" sqref="H12:H17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4" hidden="0" customWidth="1"/>
    <x:col min="11" max="11" width="42" hidden="0" customWidth="1"/>
    <x:col min="12" max="12" width="38" hidden="0" customWidth="1"/>
  </x:cols>
  <x:sheetData>
    <x:row r="1" ht="30" customHeight="1">
      <x:c r="A1" s="5" t="str">
        <x:v>Log Format Assessment Examples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2" t="str">
        <x:v>Scores are illustrative. Reassess using actual source behaviour, event samples, truncation limits and Splunk configuration.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8" customHeight="1">
      <x:c r="A4" s="106" t="str">
        <x:v>Format Example</x:v>
      </x:c>
      <x:c r="B4" s="106" t="str">
        <x:v>Common Type</x:v>
      </x:c>
      <x:c r="C4" s="106" t="str">
        <x:v>Structural
Consistency</x:v>
      </x:c>
      <x:c r="D4" s="106" t="str">
        <x:v>Delimitation &amp;
Escaping</x:v>
      </x:c>
      <x:c r="E4" s="106" t="str">
        <x:v>Schema &amp; Field
Identification</x:v>
      </x:c>
      <x:c r="F4" s="106" t="str">
        <x:v>Event Boundary
Quality</x:v>
      </x:c>
      <x:c r="G4" s="106" t="str">
        <x:v>Encoding &amp;
Integrity</x:v>
      </x:c>
      <x:c r="H4" s="106" t="str">
        <x:v>Splunk Parsing
Complexity</x:v>
      </x:c>
      <x:c r="I4" s="106" t="str">
        <x:v>Total</x:v>
      </x:c>
      <x:c r="J4" s="106" t="str">
        <x:v>Rating</x:v>
      </x:c>
      <x:c r="K4" s="106" t="str">
        <x:v>Typical Splunk Handling</x:v>
      </x:c>
      <x:c r="L4" s="106" t="str">
        <x:v>Assessment Notes</x:v>
      </x:c>
    </x:row>
    <x:row r="5" ht="52" customHeight="1">
      <x:c r="A5" s="125" t="str">
        <x:v>{"time":"2026-07-10T16:42:31.451Z","user":"jsmith","action":"login"}</x:v>
      </x:c>
      <x:c r="B5" s="125" t="str">
        <x:v>NDJSON: one JSON object per line</x:v>
      </x:c>
      <x:c r="C5" s="140" t="n">
        <x:v>4</x:v>
      </x:c>
      <x:c r="D5" s="140" t="n">
        <x:v>4</x:v>
      </x:c>
      <x:c r="E5" s="140" t="n">
        <x:v>4</x:v>
      </x:c>
      <x:c r="F5" s="140" t="n">
        <x:v>4</x:v>
      </x:c>
      <x:c r="G5" s="140" t="n">
        <x:v>4</x:v>
      </x:c>
      <x:c r="H5" s="140" t="n">
        <x:v>4</x:v>
      </x:c>
      <x:c r="I5" s="140" t="n">
        <x:f>SUM(C5:H5)</x:f>
        <x:v>24</x:v>
      </x:c>
      <x:c r="J5" s="140" t="str">
        <x:f>IF(I5&gt;=22,"Exceptional",IF(I5&gt;=18,"Good",IF(I5&gt;=13,"Fair",IF(I5&gt;=7,"Poor","Fail"))))</x:f>
        <x:v>Exceptional</x:v>
      </x:c>
      <x:c r="K5" s="125" t="str">
        <x:v>KV_MODE=json or INDEXED_EXTRACTIONS=json; SHOULD_LINEMERGE=false</x:v>
      </x:c>
      <x:c r="L5" s="125" t="str">
        <x:v>Strong structure, explicit field names and deterministic boundaries.</x:v>
      </x:c>
    </x:row>
    <x:row r="6" ht="52" customHeight="1">
      <x:c r="A6" s="129" t="str">
        <x:v>&lt;event&gt;&lt;user&gt;jsmith&lt;/user&gt;&lt;action&gt;login&lt;/action&gt;&lt;result&gt;success&lt;/result&gt;&lt;/event&gt;</x:v>
      </x:c>
      <x:c r="B6" s="129" t="str">
        <x:v>XML: one record per event</x:v>
      </x:c>
      <x:c r="C6" s="141" t="n">
        <x:v>4</x:v>
      </x:c>
      <x:c r="D6" s="141" t="n">
        <x:v>4</x:v>
      </x:c>
      <x:c r="E6" s="141" t="n">
        <x:v>4</x:v>
      </x:c>
      <x:c r="F6" s="141" t="n">
        <x:v>4</x:v>
      </x:c>
      <x:c r="G6" s="141" t="n">
        <x:v>4</x:v>
      </x:c>
      <x:c r="H6" s="141" t="n">
        <x:v>3</x:v>
      </x:c>
      <x:c r="I6" s="141" t="n">
        <x:f>SUM(C6:H6)</x:f>
        <x:v>23</x:v>
      </x:c>
      <x:c r="J6" s="141" t="str">
        <x:f>IF(I6&gt;=22,"Exceptional",IF(I6&gt;=18,"Good",IF(I6&gt;=13,"Fair",IF(I6&gt;=7,"Poor","Fail"))))</x:f>
        <x:v>Exceptional</x:v>
      </x:c>
      <x:c r="K6" s="129" t="str">
        <x:v>KV_MODE=xml; define the record boundary if events span lines</x:v>
      </x:c>
      <x:c r="L6" s="129" t="str">
        <x:v>Well-formed XML is highly structured but can need line-breaking rules.</x:v>
      </x:c>
    </x:row>
    <x:row r="7" ht="52" customHeight="1">
      <x:c r="A7" s="125" t="str">
        <x:v>CEF:0|Vendor|Product|1.0|100|Login|5|suser=jsmith src=10.0.0.5 outcome=success</x:v>
      </x:c>
      <x:c r="B7" s="125" t="str">
        <x:v>CEF with valid escaping</x:v>
      </x:c>
      <x:c r="C7" s="140" t="n">
        <x:v>4</x:v>
      </x:c>
      <x:c r="D7" s="140" t="n">
        <x:v>4</x:v>
      </x:c>
      <x:c r="E7" s="140" t="n">
        <x:v>4</x:v>
      </x:c>
      <x:c r="F7" s="140" t="n">
        <x:v>4</x:v>
      </x:c>
      <x:c r="G7" s="140" t="n">
        <x:v>4</x:v>
      </x:c>
      <x:c r="H7" s="140" t="n">
        <x:v>3</x:v>
      </x:c>
      <x:c r="I7" s="140" t="n">
        <x:f>SUM(C7:H7)</x:f>
        <x:v>23</x:v>
      </x:c>
      <x:c r="J7" s="140" t="str">
        <x:f>IF(I7&gt;=22,"Exceptional",IF(I7&gt;=18,"Good",IF(I7&gt;=13,"Fair",IF(I7&gt;=7,"Poor","Fail"))))</x:f>
        <x:v>Exceptional</x:v>
      </x:c>
      <x:c r="K7" s="125" t="str">
        <x:v>Use a supported add-on or CEF extraction; SHOULD_LINEMERGE=false</x:v>
      </x:c>
      <x:c r="L7" s="125" t="str">
        <x:v>High quality when extension values correctly escape equals signs and delimiters.</x:v>
      </x:c>
    </x:row>
    <x:row r="8" ht="52" customHeight="1">
      <x:c r="A8" s="129" t="str">
        <x:v>LEEF:2.0|Vendor|Product|1.0|100|^|usrName=jsmith^src=10.0.0.5^action=login</x:v>
      </x:c>
      <x:c r="B8" s="129" t="str">
        <x:v>LEEF with declared delimiter</x:v>
      </x:c>
      <x:c r="C8" s="141" t="n">
        <x:v>4</x:v>
      </x:c>
      <x:c r="D8" s="141" t="n">
        <x:v>4</x:v>
      </x:c>
      <x:c r="E8" s="141" t="n">
        <x:v>4</x:v>
      </x:c>
      <x:c r="F8" s="141" t="n">
        <x:v>4</x:v>
      </x:c>
      <x:c r="G8" s="141" t="n">
        <x:v>4</x:v>
      </x:c>
      <x:c r="H8" s="141" t="n">
        <x:v>3</x:v>
      </x:c>
      <x:c r="I8" s="141" t="n">
        <x:f>SUM(C8:H8)</x:f>
        <x:v>23</x:v>
      </x:c>
      <x:c r="J8" s="141" t="str">
        <x:f>IF(I8&gt;=22,"Exceptional",IF(I8&gt;=18,"Good",IF(I8&gt;=13,"Fair",IF(I8&gt;=7,"Poor","Fail"))))</x:f>
        <x:v>Exceptional</x:v>
      </x:c>
      <x:c r="K8" s="129" t="str">
        <x:v>Use a supported add-on or delimiter-aware extraction</x:v>
      </x:c>
      <x:c r="L8" s="129" t="str">
        <x:v>Explicit delimiter and named fields make the event predictable.</x:v>
      </x:c>
    </x:row>
    <x:row r="9" ht="52" customHeight="1">
      <x:c r="A9" s="125" t="str">
        <x:v>time=2026-07-10T16:42:31.451Z user=jsmith action=login result=success</x:v>
      </x:c>
      <x:c r="B9" s="125" t="str">
        <x:v>Consistent key=value</x:v>
      </x:c>
      <x:c r="C9" s="140" t="n">
        <x:v>4</x:v>
      </x:c>
      <x:c r="D9" s="140" t="n">
        <x:v>3</x:v>
      </x:c>
      <x:c r="E9" s="140" t="n">
        <x:v>4</x:v>
      </x:c>
      <x:c r="F9" s="140" t="n">
        <x:v>4</x:v>
      </x:c>
      <x:c r="G9" s="140" t="n">
        <x:v>4</x:v>
      </x:c>
      <x:c r="H9" s="140" t="n">
        <x:v>3</x:v>
      </x:c>
      <x:c r="I9" s="140" t="n">
        <x:f>SUM(C9:H9)</x:f>
        <x:v>22</x:v>
      </x:c>
      <x:c r="J9" s="140" t="str">
        <x:f>IF(I9&gt;=22,"Exceptional",IF(I9&gt;=18,"Good",IF(I9&gt;=13,"Fair",IF(I9&gt;=7,"Poor","Fail"))))</x:f>
        <x:v>Exceptional</x:v>
      </x:c>
      <x:c r="K9" s="125" t="str">
        <x:v>KV_MODE=auto or custom key=value extraction; SHOULD_LINEMERGE=false</x:v>
      </x:c>
      <x:c r="L9" s="125" t="str">
        <x:v>Good when spaces, equals signs and quoted values are escaped consistently.</x:v>
      </x:c>
    </x:row>
    <x:row r="10" ht="52" customHeight="1">
      <x:c r="A10" s="129" t="str">
        <x:v>"2026-07-10T16:42:31.451Z","jsmith","login","success","10.0.0.5"</x:v>
      </x:c>
      <x:c r="B10" s="129" t="str">
        <x:v>Quoted CSV with documented header</x:v>
      </x:c>
      <x:c r="C10" s="141" t="n">
        <x:v>4</x:v>
      </x:c>
      <x:c r="D10" s="141" t="n">
        <x:v>4</x:v>
      </x:c>
      <x:c r="E10" s="141" t="n">
        <x:v>3</x:v>
      </x:c>
      <x:c r="F10" s="141" t="n">
        <x:v>4</x:v>
      </x:c>
      <x:c r="G10" s="141" t="n">
        <x:v>4</x:v>
      </x:c>
      <x:c r="H10" s="141" t="n">
        <x:v>3</x:v>
      </x:c>
      <x:c r="I10" s="141" t="n">
        <x:f>SUM(C10:H10)</x:f>
        <x:v>22</x:v>
      </x:c>
      <x:c r="J10" s="141" t="str">
        <x:f>IF(I10&gt;=22,"Exceptional",IF(I10&gt;=18,"Good",IF(I10&gt;=13,"Fair",IF(I10&gt;=7,"Poor","Fail"))))</x:f>
        <x:v>Exceptional</x:v>
      </x:c>
      <x:c r="K10" s="129" t="str">
        <x:v>INDEXED_EXTRACTIONS=csv or search-time CSV extraction; maintain stable headers</x:v>
      </x:c>
      <x:c r="L10" s="129" t="str">
        <x:v>Reliable when quoting and column order remain stable.</x:v>
      </x:c>
    </x:row>
    <x:row r="11" ht="52" customHeight="1">
      <x:c r="A11" s="125" t="str">
        <x:v>2026-07-10T16:42:31.451Z	jsmith	login	success	10.0.0.5</x:v>
      </x:c>
      <x:c r="B11" s="125" t="str">
        <x:v>TSV with stable columns</x:v>
      </x:c>
      <x:c r="C11" s="140" t="n">
        <x:v>4</x:v>
      </x:c>
      <x:c r="D11" s="140" t="n">
        <x:v>3</x:v>
      </x:c>
      <x:c r="E11" s="140" t="n">
        <x:v>3</x:v>
      </x:c>
      <x:c r="F11" s="140" t="n">
        <x:v>4</x:v>
      </x:c>
      <x:c r="G11" s="140" t="n">
        <x:v>4</x:v>
      </x:c>
      <x:c r="H11" s="140" t="n">
        <x:v>3</x:v>
      </x:c>
      <x:c r="I11" s="140" t="n">
        <x:f>SUM(C11:H11)</x:f>
        <x:v>21</x:v>
      </x:c>
      <x:c r="J11" s="140" t="str">
        <x:f>IF(I11&gt;=22,"Exceptional",IF(I11&gt;=18,"Good",IF(I11&gt;=13,"Fair",IF(I11&gt;=7,"Poor","Fail"))))</x:f>
        <x:v>Good</x:v>
      </x:c>
      <x:c r="K11" s="125" t="str">
        <x:v>FIELD_DELIMITER=tab or equivalent extraction; SHOULD_LINEMERGE=false</x:v>
      </x:c>
      <x:c r="L11" s="125" t="str">
        <x:v>Simple and efficient, but tab characters inside values must be controlled.</x:v>
      </x:c>
    </x:row>
    <x:row r="12" ht="52" customHeight="1">
      <x:c r="A12" s="129" t="str">
        <x:v>20260710 164231 jsmith    LOGIN    SUCCESS  10.0.0.5</x:v>
      </x:c>
      <x:c r="B12" s="129" t="str">
        <x:v>Fixed-width positional text</x:v>
      </x:c>
      <x:c r="C12" s="141" t="n">
        <x:v>3</x:v>
      </x:c>
      <x:c r="D12" s="141" t="n">
        <x:v>3</x:v>
      </x:c>
      <x:c r="E12" s="141" t="n">
        <x:v>2</x:v>
      </x:c>
      <x:c r="F12" s="141" t="n">
        <x:v>4</x:v>
      </x:c>
      <x:c r="G12" s="141" t="n">
        <x:v>4</x:v>
      </x:c>
      <x:c r="H12" s="141" t="n">
        <x:v>2</x:v>
      </x:c>
      <x:c r="I12" s="141" t="n">
        <x:f>SUM(C12:H12)</x:f>
        <x:v>18</x:v>
      </x:c>
      <x:c r="J12" s="141" t="str">
        <x:f>IF(I12&gt;=22,"Exceptional",IF(I12&gt;=18,"Good",IF(I12&gt;=13,"Fair",IF(I12&gt;=7,"Poor","Fail"))))</x:f>
        <x:v>Good</x:v>
      </x:c>
      <x:c r="K12" s="129" t="str">
        <x:v>Custom positional extraction or transform to a named-field format</x:v>
      </x:c>
      <x:c r="L12" s="129" t="str">
        <x:v>Usable when widths and positions are formally documented.</x:v>
      </x:c>
    </x:row>
    <x:row r="13" ht="52" customHeight="1">
      <x:c r="A13" s="125" t="str">
        <x:v>2026-07-10 16:42:31 ERROR Request failed
  at service.module(File.java:20)
  at app.main(App.java:8)</x:v>
      </x:c>
      <x:c r="B13" s="125" t="str">
        <x:v>Predictable multiline stack trace</x:v>
      </x:c>
      <x:c r="C13" s="140" t="n">
        <x:v>3</x:v>
      </x:c>
      <x:c r="D13" s="140" t="n">
        <x:v>2</x:v>
      </x:c>
      <x:c r="E13" s="140" t="n">
        <x:v>2</x:v>
      </x:c>
      <x:c r="F13" s="140" t="n">
        <x:v>3</x:v>
      </x:c>
      <x:c r="G13" s="140" t="n">
        <x:v>4</x:v>
      </x:c>
      <x:c r="H13" s="140" t="n">
        <x:v>2</x:v>
      </x:c>
      <x:c r="I13" s="140" t="n">
        <x:f>SUM(C13:H13)</x:f>
        <x:v>16</x:v>
      </x:c>
      <x:c r="J13" s="140" t="str">
        <x:f>IF(I13&gt;=22,"Exceptional",IF(I13&gt;=18,"Good",IF(I13&gt;=13,"Fair",IF(I13&gt;=7,"Poor","Fail"))))</x:f>
        <x:v>Fair</x:v>
      </x:c>
      <x:c r="K13" s="125" t="str">
        <x:v>Configure LINE_BREAKER/SHOULD_LINEMERGE using the timestamp start pattern</x:v>
      </x:c>
      <x:c r="L13" s="125" t="str">
        <x:v>Boundaries are manageable when each new event starts with a reliable marker.</x:v>
      </x:c>
    </x:row>
    <x:row r="14" ht="52" customHeight="1">
      <x:c r="A14" s="129" t="str">
        <x:v>Jul 10 host app[123]: user jsmith logged in from 10.0.0.5</x:v>
      </x:c>
      <x:c r="B14" s="129" t="str">
        <x:v>Structured prefix plus free text</x:v>
      </x:c>
      <x:c r="C14" s="141" t="n">
        <x:v>3</x:v>
      </x:c>
      <x:c r="D14" s="141" t="n">
        <x:v>2</x:v>
      </x:c>
      <x:c r="E14" s="141" t="n">
        <x:v>2</x:v>
      </x:c>
      <x:c r="F14" s="141" t="n">
        <x:v>4</x:v>
      </x:c>
      <x:c r="G14" s="141" t="n">
        <x:v>4</x:v>
      </x:c>
      <x:c r="H14" s="141" t="n">
        <x:v>2</x:v>
      </x:c>
      <x:c r="I14" s="141" t="n">
        <x:f>SUM(C14:H14)</x:f>
        <x:v>17</x:v>
      </x:c>
      <x:c r="J14" s="141" t="str">
        <x:f>IF(I14&gt;=22,"Exceptional",IF(I14&gt;=18,"Good",IF(I14&gt;=13,"Fair",IF(I14&gt;=7,"Poor","Fail"))))</x:f>
        <x:v>Fair</x:v>
      </x:c>
      <x:c r="K14" s="129" t="str">
        <x:v>Extract stable prefix fields, then use targeted regex for the message</x:v>
      </x:c>
      <x:c r="L14" s="129" t="str">
        <x:v>Useful context, but message fields may vary by event subtype.</x:v>
      </x:c>
    </x:row>
    <x:row r="15" ht="52" customHeight="1">
      <x:c r="A15" s="125" t="str">
        <x:v>user jsmith did something from 10.0.0.5; sometimes fields move or disappear</x:v>
      </x:c>
      <x:c r="B15" s="125" t="str">
        <x:v>Variable free text</x:v>
      </x:c>
      <x:c r="C15" s="140" t="n">
        <x:v>1</x:v>
      </x:c>
      <x:c r="D15" s="140" t="n">
        <x:v>1</x:v>
      </x:c>
      <x:c r="E15" s="140" t="n">
        <x:v>1</x:v>
      </x:c>
      <x:c r="F15" s="140" t="n">
        <x:v>3</x:v>
      </x:c>
      <x:c r="G15" s="140" t="n">
        <x:v>4</x:v>
      </x:c>
      <x:c r="H15" s="140" t="n">
        <x:v>1</x:v>
      </x:c>
      <x:c r="I15" s="140" t="n">
        <x:f>SUM(C15:H15)</x:f>
        <x:v>11</x:v>
      </x:c>
      <x:c r="J15" s="140" t="str">
        <x:f>IF(I15&gt;=22,"Exceptional",IF(I15&gt;=18,"Good",IF(I15&gt;=13,"Fair",IF(I15&gt;=7,"Poor","Fail"))))</x:f>
        <x:v>Poor</x:v>
      </x:c>
      <x:c r="K15" s="125" t="str">
        <x:v>Custom regex with extensive testing; consider upstream transformation</x:v>
      </x:c>
      <x:c r="L15" s="125" t="str">
        <x:v>High maintenance and prone to extraction drift.</x:v>
      </x:c>
    </x:row>
    <x:row r="16" ht="52" customHeight="1">
      <x:c r="A16" s="129" t="str">
        <x:v>{"user":"jsmith"}{"user":"adoe"}{"user":"bchan"}</x:v>
      </x:c>
      <x:c r="B16" s="129" t="str">
        <x:v>Concatenated JSON without framing</x:v>
      </x:c>
      <x:c r="C16" s="141" t="n">
        <x:v>1</x:v>
      </x:c>
      <x:c r="D16" s="141" t="n">
        <x:v>2</x:v>
      </x:c>
      <x:c r="E16" s="141" t="n">
        <x:v>2</x:v>
      </x:c>
      <x:c r="F16" s="141" t="n">
        <x:v>0</x:v>
      </x:c>
      <x:c r="G16" s="141" t="n">
        <x:v>4</x:v>
      </x:c>
      <x:c r="H16" s="141" t="n">
        <x:v>0</x:v>
      </x:c>
      <x:c r="I16" s="141" t="n">
        <x:f>SUM(C16:H16)</x:f>
        <x:v>9</x:v>
      </x:c>
      <x:c r="J16" s="141" t="str">
        <x:f>IF(I16&gt;=22,"Exceptional",IF(I16&gt;=18,"Good",IF(I16&gt;=13,"Fair",IF(I16&gt;=7,"Poor","Fail"))))</x:f>
        <x:v>Poor</x:v>
      </x:c>
      <x:c r="K16" s="129" t="str">
        <x:v>Add a reliable event separator or transform upstream before ingestion</x:v>
      </x:c>
      <x:c r="L16" s="129" t="str">
        <x:v>Valid objects may exist, but event boundaries are not deterministic.</x:v>
      </x:c>
    </x:row>
    <x:row r="17" ht="52" customHeight="1">
      <x:c r="A17" s="125" t="str">
        <x:v>2026-07-10 user=jsm�th action=log...&lt;truncated&gt;</x:v>
      </x:c>
      <x:c r="B17" s="125" t="str">
        <x:v>Malformed or truncated mixed encoding</x:v>
      </x:c>
      <x:c r="C17" s="140" t="n">
        <x:v>1</x:v>
      </x:c>
      <x:c r="D17" s="140" t="n">
        <x:v>1</x:v>
      </x:c>
      <x:c r="E17" s="140" t="n">
        <x:v>1</x:v>
      </x:c>
      <x:c r="F17" s="140" t="n">
        <x:v>2</x:v>
      </x:c>
      <x:c r="G17" s="140" t="n">
        <x:v>0</x:v>
      </x:c>
      <x:c r="H17" s="140" t="n">
        <x:v>0</x:v>
      </x:c>
      <x:c r="I17" s="140" t="n">
        <x:f>SUM(C17:H17)</x:f>
        <x:v>5</x:v>
      </x:c>
      <x:c r="J17" s="140" t="str">
        <x:f>IF(I17&gt;=22,"Exceptional",IF(I17&gt;=18,"Good",IF(I17&gt;=13,"Fair",IF(I17&gt;=7,"Poor","Fail"))))</x:f>
        <x:v>Fail</x:v>
      </x:c>
      <x:c r="K17" s="125" t="str">
        <x:v>Correct encoding and truncation at the source or collection tier</x:v>
      </x:c>
      <x:c r="L17" s="125" t="str">
        <x:v>Material data-integrity problems make reliable parsing impossible.</x:v>
      </x:c>
    </x:row>
  </x:sheetData>
  <x:mergeCells>
    <x:mergeCell ref="A1:L1"/>
    <x:mergeCell ref="A2:L2"/>
  </x:mergeCells>
  <x:conditionalFormatting sqref="I5:I17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J5:J17">
    <x:cfRule type="expression" dxfId="10" priority="2">
      <x:formula>J5="Exceptional"</x:formula>
    </x:cfRule>
    <x:cfRule type="expression" dxfId="11" priority="3">
      <x:formula>J5="Good"</x:formula>
    </x:cfRule>
    <x:cfRule type="expression" dxfId="12" priority="4">
      <x:formula>J5="Fair"</x:formula>
    </x:cfRule>
    <x:cfRule type="expression" dxfId="13" priority="5">
      <x:formula>J5="Poor"</x:formula>
    </x:cfRule>
    <x:cfRule type="expression" dxfId="14" priority="6">
      <x:formula>J5="Fail"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34" hidden="0" customWidth="1"/>
    <x:col min="5" max="5" width="36" hidden="0" customWidth="1"/>
    <x:col min="6" max="6" width="42" hidden="0" customWidth="1"/>
    <x:col min="7" max="7" width="20" hidden="0" customWidth="1"/>
  </x:cols>
  <x:sheetData>
    <x:row r="1" ht="30" customHeight="1">
      <x:c r="A1" s="5" t="str">
        <x:v>Log Format Reference for Splunk Ingestion</x:v>
      </x:c>
      <x:c r="B1" s="5"/>
      <x:c r="C1" s="5"/>
      <x:c r="D1" s="5"/>
      <x:c r="E1" s="5"/>
      <x:c r="F1" s="5"/>
      <x:c r="G1" s="5"/>
    </x:row>
    <x:row r="2" ht="26" customHeight="1">
      <x:c r="A2" s="12" t="str">
        <x:v>Typical characteristics and configuration considerations. Final settings must be validated against representative raw events.</x:v>
      </x:c>
      <x:c r="B2" s="12"/>
      <x:c r="C2" s="12"/>
      <x:c r="D2" s="12"/>
      <x:c r="E2" s="12"/>
      <x:c r="F2" s="12"/>
      <x:c r="G2" s="12"/>
    </x:row>
    <x:row r="4" ht="34" customHeight="1">
      <x:c r="A4" s="106" t="str">
        <x:v>Format</x:v>
      </x:c>
      <x:c r="B4" s="106" t="str">
        <x:v>Structure</x:v>
      </x:c>
      <x:c r="C4" s="106" t="str">
        <x:v>Typical Event Boundary</x:v>
      </x:c>
      <x:c r="D4" s="106" t="str">
        <x:v>Strengths</x:v>
      </x:c>
      <x:c r="E4" s="106" t="str">
        <x:v>Common Risks</x:v>
      </x:c>
      <x:c r="F4" s="106" t="str">
        <x:v>Common Splunk Considerations</x:v>
      </x:c>
      <x:c r="G4" s="106" t="str">
        <x:v>Typical Quality Range</x:v>
      </x:c>
    </x:row>
    <x:row r="5" ht="58" customHeight="1">
      <x:c r="A5" s="125" t="str">
        <x:v>NDJSON / JSON Lines</x:v>
      </x:c>
      <x:c r="B5" s="125" t="str">
        <x:v>Named fields; nested objects and arrays</x:v>
      </x:c>
      <x:c r="C5" s="125" t="str">
        <x:v>One JSON object per line</x:v>
      </x:c>
      <x:c r="D5" s="125" t="str">
        <x:v>Strong schema visibility and straightforward extraction</x:v>
      </x:c>
      <x:c r="E5" s="125" t="str">
        <x:v>Concatenated objects, changing field types, embedded unescaped JSON</x:v>
      </x:c>
      <x:c r="F5" s="125" t="str">
        <x:v>KV_MODE=json or indexed JSON extraction; disable line merging</x:v>
      </x:c>
      <x:c r="G5" s="125" t="str">
        <x:v>Good–Exceptional</x:v>
      </x:c>
    </x:row>
    <x:row r="6" ht="58" customHeight="1">
      <x:c r="A6" s="129" t="str">
        <x:v>JSON array / pretty-printed JSON</x:v>
      </x:c>
      <x:c r="B6" s="129" t="str">
        <x:v>Structured but often multiline</x:v>
      </x:c>
      <x:c r="C6" s="129" t="str">
        <x:v>Array element or complete payload</x:v>
      </x:c>
      <x:c r="D6" s="129" t="str">
        <x:v>Rich structure</x:v>
      </x:c>
      <x:c r="E6" s="129" t="str">
        <x:v>One payload may contain many logical events; fragile boundaries</x:v>
      </x:c>
      <x:c r="F6" s="129" t="str">
        <x:v>Split elements before ingestion or define precise event boundaries</x:v>
      </x:c>
      <x:c r="G6" s="129" t="str">
        <x:v>Fair–Good</x:v>
      </x:c>
    </x:row>
    <x:row r="7" ht="58" customHeight="1">
      <x:c r="A7" s="125" t="str">
        <x:v>XML</x:v>
      </x:c>
      <x:c r="B7" s="125" t="str">
        <x:v>Named elements and attributes</x:v>
      </x:c>
      <x:c r="C7" s="125" t="str">
        <x:v>Record root element</x:v>
      </x:c>
      <x:c r="D7" s="125" t="str">
        <x:v>Self-describing hierarchy</x:v>
      </x:c>
      <x:c r="E7" s="125" t="str">
        <x:v>Large payloads, namespaces, multiline records</x:v>
      </x:c>
      <x:c r="F7" s="125" t="str">
        <x:v>Use XML extraction and validate line breaking</x:v>
      </x:c>
      <x:c r="G7" s="125" t="str">
        <x:v>Fair–Exceptional</x:v>
      </x:c>
    </x:row>
    <x:row r="8" ht="58" customHeight="1">
      <x:c r="A8" s="129" t="str">
        <x:v>CEF</x:v>
      </x:c>
      <x:c r="B8" s="129" t="str">
        <x:v>Header plus key=value extension</x:v>
      </x:c>
      <x:c r="C8" s="129" t="str">
        <x:v>Usually one event per line</x:v>
      </x:c>
      <x:c r="D8" s="129" t="str">
        <x:v>Security-oriented and widely supported</x:v>
      </x:c>
      <x:c r="E8" s="129" t="str">
        <x:v>Incorrect escaping, vendor-specific extensions</x:v>
      </x:c>
      <x:c r="F8" s="129" t="str">
        <x:v>Prefer supported add-on; validate CEF extension parsing</x:v>
      </x:c>
      <x:c r="G8" s="129" t="str">
        <x:v>Good–Exceptional</x:v>
      </x:c>
    </x:row>
    <x:row r="9" ht="58" customHeight="1">
      <x:c r="A9" s="125" t="str">
        <x:v>LEEF</x:v>
      </x:c>
      <x:c r="B9" s="125" t="str">
        <x:v>Header plus delimited fields</x:v>
      </x:c>
      <x:c r="C9" s="125" t="str">
        <x:v>Usually one event per line</x:v>
      </x:c>
      <x:c r="D9" s="125" t="str">
        <x:v>Explicit delimiter and named extension fields</x:v>
      </x:c>
      <x:c r="E9" s="125" t="str">
        <x:v>Delimiter conflicts and vendor variations</x:v>
      </x:c>
      <x:c r="F9" s="125" t="str">
        <x:v>Prefer supported add-on or delimiter-aware extraction</x:v>
      </x:c>
      <x:c r="G9" s="125" t="str">
        <x:v>Good–Exceptional</x:v>
      </x:c>
    </x:row>
    <x:row r="10" ht="58" customHeight="1">
      <x:c r="A10" s="129" t="str">
        <x:v>key=value</x:v>
      </x:c>
      <x:c r="B10" s="129" t="str">
        <x:v>Named flat fields</x:v>
      </x:c>
      <x:c r="C10" s="129" t="str">
        <x:v>Usually one event per line</x:v>
      </x:c>
      <x:c r="D10" s="129" t="str">
        <x:v>Human-readable and flexible</x:v>
      </x:c>
      <x:c r="E10" s="129" t="str">
        <x:v>Spaces, equals signs and quoting inside values</x:v>
      </x:c>
      <x:c r="F10" s="129" t="str">
        <x:v>Use KV extraction; define quoting and escape behaviour</x:v>
      </x:c>
      <x:c r="G10" s="129" t="str">
        <x:v>Fair–Exceptional</x:v>
      </x:c>
    </x:row>
    <x:row r="11" ht="58" customHeight="1">
      <x:c r="A11" s="125" t="str">
        <x:v>CSV / TSV</x:v>
      </x:c>
      <x:c r="B11" s="125" t="str">
        <x:v>Positional columns; optional header</x:v>
      </x:c>
      <x:c r="C11" s="125" t="str">
        <x:v>One record per row</x:v>
      </x:c>
      <x:c r="D11" s="125" t="str">
        <x:v>Compact and efficient</x:v>
      </x:c>
      <x:c r="E11" s="125" t="str">
        <x:v>Column drift, embedded newlines, inconsistent quoting</x:v>
      </x:c>
      <x:c r="F11" s="125" t="str">
        <x:v>Define headers, delimiter, quote handling and multiline policy</x:v>
      </x:c>
      <x:c r="G11" s="125" t="str">
        <x:v>Fair–Good</x:v>
      </x:c>
    </x:row>
    <x:row r="12" ht="58" customHeight="1">
      <x:c r="A12" s="129" t="str">
        <x:v>Fixed-width</x:v>
      </x:c>
      <x:c r="B12" s="129" t="str">
        <x:v>Positional fields</x:v>
      </x:c>
      <x:c r="C12" s="129" t="str">
        <x:v>One record per line</x:v>
      </x:c>
      <x:c r="D12" s="129" t="str">
        <x:v>Stable when formally specified</x:v>
      </x:c>
      <x:c r="E12" s="129" t="str">
        <x:v>Field-width changes and blank-column ambiguity</x:v>
      </x:c>
      <x:c r="F12" s="129" t="str">
        <x:v>Use positional extraction or transform upstream</x:v>
      </x:c>
      <x:c r="G12" s="129" t="str">
        <x:v>Fair–Good</x:v>
      </x:c>
    </x:row>
    <x:row r="13" ht="58" customHeight="1">
      <x:c r="A13" s="125" t="str">
        <x:v>Multiline application text</x:v>
      </x:c>
      <x:c r="B13" s="125" t="str">
        <x:v>Mixed stable prefix and variable continuation lines</x:v>
      </x:c>
      <x:c r="C13" s="125" t="str">
        <x:v>Start-pattern or explicit terminator</x:v>
      </x:c>
      <x:c r="D13" s="125" t="str">
        <x:v>Preserves stack traces and diagnostic context</x:v>
      </x:c>
      <x:c r="E13" s="125" t="str">
        <x:v>Event merging, truncation and fragile start patterns</x:v>
      </x:c>
      <x:c r="F13" s="125" t="str">
        <x:v>Tune LINE_BREAKER, SHOULD_LINEMERGE and TRUNCATE</x:v>
      </x:c>
      <x:c r="G13" s="125" t="str">
        <x:v>Poor–Good</x:v>
      </x:c>
    </x:row>
    <x:row r="14" ht="58" customHeight="1">
      <x:c r="A14" s="129" t="str">
        <x:v>Free text</x:v>
      </x:c>
      <x:c r="B14" s="129" t="str">
        <x:v>Little or no formal structure</x:v>
      </x:c>
      <x:c r="C14" s="129" t="str">
        <x:v>Usually one line, sometimes inconsistent</x:v>
      </x:c>
      <x:c r="D14" s="129" t="str">
        <x:v>Easy for applications to emit</x:v>
      </x:c>
      <x:c r="E14" s="129" t="str">
        <x:v>Regex drift, ambiguous values and poor schema</x:v>
      </x:c>
      <x:c r="F14" s="129" t="str">
        <x:v>Targeted extractions or upstream transformation</x:v>
      </x:c>
      <x:c r="G14" s="129" t="str">
        <x:v>Fail–Fair</x:v>
      </x:c>
    </x:row>
  </x:sheetData>
  <x:mergeCells>
    <x:mergeCell ref="A1:G1"/>
    <x:mergeCell ref="A2:G2"/>
  </x:mergeCells>
  <x:pageMargins left="0.7" right="0.7" top="0.75" bottom="0.75" header="0.3" footer="0.3"/>
</x:worksheet>
</file>