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ee9e3f80e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58279c109dad4bee"/>
    <x:sheet xmlns:r="http://schemas.openxmlformats.org/officeDocument/2006/relationships" name="Examples" sheetId="2" r:id="R94d1d5c6ae17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6"/>
      <x:color rgb="FF17365D"/>
      <x:name val="Carlito"/>
    </x:font>
    <x:font>
      <x:b/>
      <x:sz val="14"/>
      <x:color rgb="FF17365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EAF2D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vertical="center"/>
    </x:xf>
    <x:xf numFmtId="0" fontId="5" fillId="6" borderId="11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15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15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1" borderId="6" xfId="0" applyNumberFormat="1" applyFont="1" applyFill="1" applyBorder="1" applyAlignment="1">
      <x:alignment wrapText="1"/>
    </x:xf>
    <x:xf numFmtId="0" fontId="0" fillId="11" borderId="16" xfId="0" applyNumberFormat="1" applyFont="1" applyFill="1" applyBorder="1" applyAlignment="1">
      <x:alignment wrapText="1"/>
    </x:xf>
    <x:xf numFmtId="0" fontId="0" fillId="11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8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9" borderId="10" xfId="0" applyNumberFormat="1" applyFont="1" applyFill="1" applyBorder="1" applyAlignment="1">
      <x:alignment wrapText="1"/>
    </x:xf>
    <x:xf numFmtId="0" fontId="0" fillId="9" borderId="18" xfId="0" applyNumberFormat="1" applyFont="1" applyFill="1" applyBorder="1" applyAlignment="1">
      <x:alignment wrapText="1"/>
    </x:xf>
    <x:xf numFmtId="0" fontId="0" fillId="9" borderId="11" xfId="0" applyNumberFormat="1" applyFont="1" applyFill="1" applyBorder="1" applyAlignment="1">
      <x:alignment wrapText="1"/>
    </x:xf>
    <x:xf numFmtId="0" fontId="0" fillId="10" borderId="10" xfId="0" applyNumberFormat="1" applyFont="1" applyFill="1" applyBorder="1" applyAlignment="1">
      <x:alignment wrapText="1"/>
    </x:xf>
    <x:xf numFmtId="0" fontId="0" fillId="10" borderId="18" xfId="0" applyNumberFormat="1" applyFont="1" applyFill="1" applyBorder="1" applyAlignment="1">
      <x:alignment wrapText="1"/>
    </x:xf>
    <x:xf numFmtId="0" fontId="0" fillId="10" borderId="11" xfId="0" applyNumberFormat="1" applyFont="1" applyFill="1" applyBorder="1" applyAlignment="1">
      <x:alignment wrapText="1"/>
    </x:xf>
    <x:xf numFmtId="0" fontId="0" fillId="11" borderId="12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wrapText="1"/>
    </x:xf>
    <x:xf numFmtId="0" fontId="0" fillId="11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7" fillId="9" borderId="18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3" borderId="19" xfId="0" applyNumberFormat="1" applyFont="1" applyFill="1" applyBorder="1" applyAlignment="1">
      <x:alignment vertical="top" wrapText="1"/>
    </x:xf>
    <x:xf numFmtId="0" fontId="7" fillId="9" borderId="1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385723"/>
      </x:font>
      <x:fill>
        <x:patternFill patternType="solid">
          <x:bgColor rgb="FFEAF2D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195e2a1cf49ac" /><Relationship Type="http://schemas.openxmlformats.org/officeDocument/2006/relationships/theme" Target="/xl/theme/theme1.xml" Id="Ra21d37d88e7e44a7" /><Relationship Type="http://schemas.openxmlformats.org/officeDocument/2006/relationships/sharedStrings" Target="/xl/sharedStrings.xml" Id="R8135ab439968438b" /><Relationship Type="http://schemas.openxmlformats.org/officeDocument/2006/relationships/worksheet" Target="/xl/worksheets/sheet1.xml" Id="R58279c109dad4bee" /><Relationship Type="http://schemas.openxmlformats.org/officeDocument/2006/relationships/worksheet" Target="/xl/worksheets/sheet2.xml" Id="R94d1d5c6ae174dc9" /></Relationships>
</file>

<file path=xl/tables/table1.xml><?xml version="1.0" encoding="utf-8"?>
<x:table xmlns:x="http://schemas.openxmlformats.org/spreadsheetml/2006/main" id="1" name="TimestampCriteriaTable" displayName="TimestampCriteriaTable" ref="A11:J17" headerRowCount="1">
  <x:tableColumns count="10">
    <x:tableColumn id="1" name="Criterion"/>
    <x:tableColumn id="2" name="4 — Exceptional"/>
    <x:tableColumn id="3" name="3 — Good"/>
    <x:tableColumn id="4" name="2 — Fair"/>
    <x:tableColumn id="5" name="1 — Poor"/>
    <x:tableColumn id="6" name="0 — Fail"/>
    <x:tableColumn id="7" name="Guidance"/>
    <x:tableColumn id="8" name="Selected Score"/>
    <x:tableColumn id="9" name="Selected Assessment"/>
    <x:tableColumn id="10" name="Notes /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TimestampExamplesTable" displayName="TimestampExamplesTable" ref="A4:L16" headerRowCount="1">
  <x:tableColumns count="12">
    <x:tableColumn id="1" name="Timestamp Example"/>
    <x:tableColumn id="2" name="Common Type"/>
    <x:tableColumn id="3" name="Format&#10;Consistency"/>
    <x:tableColumn id="4" name="Timezone&#10;Quality"/>
    <x:tableColumn id="5" name="Precision"/>
    <x:tableColumn id="6" name="Completeness &amp;&#10;Ambiguity"/>
    <x:tableColumn id="7" name="Event-Time&#10;Reliability"/>
    <x:tableColumn id="8" name="Splunk Parsing&#10;Complexity"/>
    <x:tableColumn id="9" name="Total"/>
    <x:tableColumn id="10" name="Rating"/>
    <x:tableColumn id="11" name="Splunk TIME_FORMAT / Handling"/>
    <x:tableColumn id="12" name="Assessme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d508bfb6eb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de05a2362c4ac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24" hidden="0" customWidth="1"/>
    <x:col min="8" max="8" width="14" hidden="0" customWidth="1"/>
    <x:col min="9" max="9" width="38" hidden="0" customWidth="1"/>
    <x:col min="10" max="10" width="26" hidden="0" customWidth="1"/>
  </x:cols>
  <x:sheetData>
    <x:row r="1" ht="34" customHeight="1">
      <x:c r="A1" s="5" t="str">
        <x:v>Splunk Timestamp Quality Calculator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3" t="str">
        <x:v>Select a score from 0 to 4 for each criterion. The workbook calculates the total quality rating automatically.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44" t="str">
        <x:v>Assessment Summary</x:v>
      </x:c>
      <x:c r="B4" s="45" t="str"/>
      <x:c r="D4" s="82" t="str">
        <x:v>Rating Scale</x:v>
      </x:c>
      <x:c r="E4" s="83" t="str">
        <x:v>Score</x:v>
      </x:c>
      <x:c r="F4" s="84" t="str">
        <x:v>Meaning</x:v>
      </x:c>
    </x:row>
    <x:row r="5">
      <x:c r="A5" s="46" t="str">
        <x:v>Criteria completed</x:v>
      </x:c>
      <x:c r="B5" s="47" t="str">
        <x:f>COUNT(H12:H17)&amp;"/6"</x:f>
        <x:v>0/6</x:v>
      </x:c>
      <x:c r="D5" s="85" t="str">
        <x:v>Exceptional</x:v>
      </x:c>
      <x:c r="E5" s="86" t="str">
        <x:v>22–24</x:v>
      </x:c>
      <x:c r="F5" s="87" t="str">
        <x:v>Production-ready and highly reliable</x:v>
      </x:c>
    </x:row>
    <x:row r="6">
      <x:c r="A6" s="46" t="str">
        <x:v>Total score</x:v>
      </x:c>
      <x:c r="B6" s="48" t="str">
        <x:f>IF(COUNT(H12:H17)=6,SUM(H12:H17),"")</x:f>
      </x:c>
      <x:c r="D6" s="88" t="str">
        <x:v>Good</x:v>
      </x:c>
      <x:c r="E6" s="89" t="str">
        <x:v>18–21</x:v>
      </x:c>
      <x:c r="F6" s="90" t="str">
        <x:v>Minor configuration may be required</x:v>
      </x:c>
    </x:row>
    <x:row r="7">
      <x:c r="A7" s="46" t="str">
        <x:v>Overall rating</x:v>
      </x:c>
      <x:c r="B7" s="49" t="str">
        <x:f>IF(B6="","",IF(B6&gt;=22,"Exceptional",IF(B6&gt;=18,"Good",IF(B6&gt;=13,"Fair",IF(B6&gt;=7,"Poor","Fail")))))</x:f>
      </x:c>
      <x:c r="D7" s="91" t="str">
        <x:v>Fair</x:v>
      </x:c>
      <x:c r="E7" s="92" t="str">
        <x:v>13–17</x:v>
      </x:c>
      <x:c r="F7" s="93" t="str">
        <x:v>Controlled parsing or timezone handling required</x:v>
      </x:c>
    </x:row>
    <x:row r="8">
      <x:c r="A8" s="50" t="str">
        <x:v>Interpretation</x:v>
      </x:c>
      <x:c r="B8" s="51" t="str">
        <x:f>IF(B6="","Complete all six criteria",IF(B6&gt;=22,"Production-ready, precise and highly reliable",IF(B6&gt;=18,"Suitable for production with minor configuration",IF(B6&gt;=13,"Usable, but requires controlled parsing or timezone handling",IF(B6&gt;=7,"Significant risk to _time, event ordering and correlation","Timestamp must be corrected, transformed or enriched before ingestion")))))</x:f>
        <x:v>Complete all six criteria</x:v>
      </x:c>
      <x:c r="D8" s="94" t="str">
        <x:v>Poor</x:v>
      </x:c>
      <x:c r="E8" s="95" t="str">
        <x:v>7–12</x:v>
      </x:c>
      <x:c r="F8" s="96" t="str">
        <x:v>Significant risk to event time quality</x:v>
      </x:c>
    </x:row>
    <x:row r="9">
      <x:c r="D9" s="97" t="str">
        <x:v>Fail</x:v>
      </x:c>
      <x:c r="E9" s="98" t="str">
        <x:v>0–6</x:v>
      </x:c>
      <x:c r="F9" s="99" t="str">
        <x:v>Correct, transform or enrich before ingestion</x:v>
      </x:c>
    </x:row>
    <x:row r="11" ht="32" customHeight="1">
      <x:c r="A11" s="142" t="str">
        <x:v>Criterion</x:v>
      </x:c>
      <x:c r="B11" s="143" t="str">
        <x:v>4 — Exceptional</x:v>
      </x:c>
      <x:c r="C11" s="143" t="str">
        <x:v>3 — Good</x:v>
      </x:c>
      <x:c r="D11" s="143" t="str">
        <x:v>2 — Fair</x:v>
      </x:c>
      <x:c r="E11" s="143" t="str">
        <x:v>1 — Poor</x:v>
      </x:c>
      <x:c r="F11" s="143" t="str">
        <x:v>0 — Fail</x:v>
      </x:c>
      <x:c r="G11" s="143" t="str">
        <x:v>Guidance</x:v>
      </x:c>
      <x:c r="H11" s="143" t="str">
        <x:v>Selected Score</x:v>
      </x:c>
      <x:c r="I11" s="143" t="str">
        <x:v>Selected Assessment</x:v>
      </x:c>
      <x:c r="J11" s="144" t="str">
        <x:v>Notes / Evidence</x:v>
      </x:c>
    </x:row>
    <x:row r="12" ht="92" customHeight="1">
      <x:c r="A12" s="145" t="str">
        <x:v>Format Consistency</x:v>
      </x:c>
      <x:c r="B12" s="146" t="str">
        <x:v>One documented timestamp format across all events</x:v>
      </x:c>
      <x:c r="C12" s="146" t="str">
        <x:v>Consistent format with rare exceptions</x:v>
      </x:c>
      <x:c r="D12" s="146" t="str">
        <x:v>Two predictable formats are present</x:v>
      </x:c>
      <x:c r="E12" s="146" t="str">
        <x:v>Frequent or unpredictable variation</x:v>
      </x:c>
      <x:c r="F12" s="146" t="str">
        <x:v>No reliable timestamp format</x:v>
      </x:c>
      <x:c r="G12" s="147" t="str">
        <x:v>Choose the description that best matches the timestamp sample and source behaviour.</x:v>
      </x:c>
      <x:c r="H12" s="148"/>
      <x:c r="I12" s="146" t="str">
        <x:f>IF(H12="","",INDEX(B12:F12,1,5-H12))</x:f>
      </x:c>
      <x:c r="J12" s="149"/>
    </x:row>
    <x:row r="13" ht="92" customHeight="1">
      <x:c r="A13" s="145" t="str">
        <x:v>Timezone Quality</x:v>
      </x:c>
      <x:c r="B13" s="146" t="str">
        <x:v>UTC or an explicit UTC offset is included in every event</x:v>
      </x:c>
      <x:c r="C13" s="146" t="str">
        <x:v>Timezone is absent from the event but consistently documented and applied</x:v>
      </x:c>
      <x:c r="D13" s="146" t="str">
        <x:v>Timezone can be inferred from the source, host or collection path</x:v>
      </x:c>
      <x:c r="E13" s="146" t="str">
        <x:v>Local time is ambiguous or affected by daylight-saving changes</x:v>
      </x:c>
      <x:c r="F13" s="146" t="str">
        <x:v>Timezone is unknown, conflicting or inconsistent</x:v>
      </x:c>
      <x:c r="G13" s="147" t="str">
        <x:v>Choose the description that best matches the timestamp sample and source behaviour.</x:v>
      </x:c>
      <x:c r="H13" s="148"/>
      <x:c r="I13" s="146" t="str">
        <x:f>IF(H13="","",INDEX(B13:F13,1,5-H13))</x:f>
      </x:c>
      <x:c r="J13" s="149"/>
    </x:row>
    <x:row r="14" ht="92" customHeight="1">
      <x:c r="A14" s="145" t="str">
        <x:v>Timestamp Precision</x:v>
      </x:c>
      <x:c r="B14" s="146" t="str">
        <x:v>Millisecond, microsecond or finer precision</x:v>
      </x:c>
      <x:c r="C14" s="146" t="str">
        <x:v>Milliseconds are normally present but occasionally omitted</x:v>
      </x:c>
      <x:c r="D14" s="146" t="str">
        <x:v>Second-level precision only</x:v>
      </x:c>
      <x:c r="E14" s="146" t="str">
        <x:v>Minute-level precision only</x:v>
      </x:c>
      <x:c r="F14" s="146" t="str">
        <x:v>Date only, no usable time, or unusable precision</x:v>
      </x:c>
      <x:c r="G14" s="147" t="str">
        <x:v>Choose the description that best matches the timestamp sample and source behaviour.</x:v>
      </x:c>
      <x:c r="H14" s="148"/>
      <x:c r="I14" s="146" t="str">
        <x:f>IF(H14="","",INDEX(B14:F14,1,5-H14))</x:f>
      </x:c>
      <x:c r="J14" s="149"/>
    </x:row>
    <x:row r="15" ht="92" customHeight="1">
      <x:c r="A15" s="145" t="str">
        <x:v>Completeness and Ambiguity</x:v>
      </x:c>
      <x:c r="B15" s="146" t="str">
        <x:v>Full year, month, day, time, fractional seconds and timezone; fully unambiguous</x:v>
      </x:c>
      <x:c r="C15" s="146" t="str">
        <x:v>Full date and time with only one externally supplied component</x:v>
      </x:c>
      <x:c r="D15" s="146" t="str">
        <x:v>Missing year, timezone or another inferable component</x:v>
      </x:c>
      <x:c r="E15" s="146" t="str">
        <x:v>Ambiguous ordering, two-digit year or several inferred components</x:v>
      </x:c>
      <x:c r="F15" s="146" t="str">
        <x:v>Missing essential components or cannot be reliably interpreted</x:v>
      </x:c>
      <x:c r="G15" s="147" t="str">
        <x:v>Choose the description that best matches the timestamp sample and source behaviour.</x:v>
      </x:c>
      <x:c r="H15" s="148"/>
      <x:c r="I15" s="146" t="str">
        <x:f>IF(H15="","",INDEX(B15:F15,1,5-H15))</x:f>
      </x:c>
      <x:c r="J15" s="149"/>
    </x:row>
    <x:row r="16" ht="92" customHeight="1">
      <x:c r="A16" s="145" t="str">
        <x:v>Event-Time Reliability</x:v>
      </x:c>
      <x:c r="B16" s="146" t="str">
        <x:v>Timestamp represents when the activity occurred and the source clock is synchronised</x:v>
      </x:c>
      <x:c r="C16" s="146" t="str">
        <x:v>Reliable event occurrence time with minor documented drift</x:v>
      </x:c>
      <x:c r="D16" s="146" t="str">
        <x:v>Event time is usable but has known clock, buffering or delay issues</x:v>
      </x:c>
      <x:c r="E16" s="146" t="str">
        <x:v>Timestamp mainly represents receipt, processing or forwarding time</x:v>
      </x:c>
      <x:c r="F16" s="146" t="str">
        <x:v>No trustworthy event occurrence timestamp</x:v>
      </x:c>
      <x:c r="G16" s="147" t="str">
        <x:v>Choose the description that best matches the timestamp sample and source behaviour.</x:v>
      </x:c>
      <x:c r="H16" s="148"/>
      <x:c r="I16" s="146" t="str">
        <x:f>IF(H16="","",INDEX(B16:F16,1,5-H16))</x:f>
      </x:c>
      <x:c r="J16" s="149"/>
    </x:row>
    <x:row r="17" ht="92" customHeight="1">
      <x:c r="A17" s="150" t="str">
        <x:v>Splunk Parsing Complexity</x:v>
      </x:c>
      <x:c r="B17" s="151" t="str">
        <x:v>Splunk parses the timestamp deterministically with minimal configuration</x:v>
      </x:c>
      <x:c r="C17" s="151" t="str">
        <x:v>Requires a defined TIME_FORMAT or minor sourcetype configuration</x:v>
      </x:c>
      <x:c r="D17" s="151" t="str">
        <x:v>Requires TIME_FORMAT, TIME_PREFIX, MAX_TIMESTAMP_LOOKAHEAD or TZ</x:v>
      </x:c>
      <x:c r="E17" s="151" t="str">
        <x:v>Requires conditional parsing, preprocessing, multiple sourcetypes or source-specific rules</x:v>
      </x:c>
      <x:c r="F17" s="151" t="str">
        <x:v>Cannot be parsed reliably without modifying or enriching the source data</x:v>
      </x:c>
      <x:c r="G17" s="152" t="str">
        <x:v>Choose the description that best matches the timestamp sample and source behaviour.</x:v>
      </x:c>
      <x:c r="H17" s="153"/>
      <x:c r="I17" s="151" t="str">
        <x:f>IF(H17="","",INDEX(B17:F17,1,5-H17))</x:f>
      </x:c>
      <x:c r="J17" s="154"/>
    </x:row>
    <x:row r="19" ht="34" customHeight="1">
      <x:c r="A19" s="171" t="str">
        <x:v>Assessment note: Event-Time Reliability depends on what the field represents, source clock synchronisation, buffering and forwarding delay—not only the visible timestamp format.</x:v>
      </x:c>
      <x:c r="B19" s="171"/>
      <x:c r="C19" s="171"/>
      <x:c r="D19" s="171"/>
      <x:c r="E19" s="171"/>
      <x:c r="F19" s="171"/>
      <x:c r="G19" s="171"/>
      <x:c r="H19" s="171"/>
      <x:c r="I19" s="171"/>
      <x:c r="J19" s="171"/>
    </x:row>
  </x:sheetData>
  <x:mergeCells>
    <x:mergeCell ref="A1:J1"/>
    <x:mergeCell ref="A2:J2"/>
    <x:mergeCell ref="A4:B4"/>
    <x:mergeCell ref="A19:J19"/>
  </x:mergeCells>
  <x:conditionalFormatting sqref="H12:H17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B6:B6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dataValidations count="1">
    <x:dataValidation type="list" sqref="H12:H17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d508bfb6eb47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9" hidden="0" customWidth="1"/>
    <x:col min="10" max="10" width="13" hidden="0" customWidth="1"/>
    <x:col min="11" max="11" width="46" hidden="0" customWidth="1"/>
    <x:col min="12" max="12" width="50" hidden="0" customWidth="1"/>
  </x:cols>
  <x:sheetData>
    <x:row r="1" ht="34" customHeight="1">
      <x:c r="A1" s="5" t="str">
        <x:v>Timestamp Assessment Examples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6" customHeight="1">
      <x:c r="A2" s="13" t="str">
        <x:v>Scores are illustrative. Reassess Event-Time Reliability and Parsing Complexity using actual source behaviour, clock synchronisation and Splunk configuration.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8" customHeight="1">
      <x:c r="A4" s="142" t="str">
        <x:v>Timestamp Example</x:v>
      </x:c>
      <x:c r="B4" s="143" t="str">
        <x:v>Common Type</x:v>
      </x:c>
      <x:c r="C4" s="143" t="str">
        <x:v>Format
Consistency</x:v>
      </x:c>
      <x:c r="D4" s="143" t="str">
        <x:v>Timezone
Quality</x:v>
      </x:c>
      <x:c r="E4" s="143" t="str">
        <x:v>Precision</x:v>
      </x:c>
      <x:c r="F4" s="143" t="str">
        <x:v>Completeness &amp;
Ambiguity</x:v>
      </x:c>
      <x:c r="G4" s="143" t="str">
        <x:v>Event-Time
Reliability</x:v>
      </x:c>
      <x:c r="H4" s="143" t="str">
        <x:v>Splunk Parsing
Complexity</x:v>
      </x:c>
      <x:c r="I4" s="143" t="str">
        <x:v>Total</x:v>
      </x:c>
      <x:c r="J4" s="143" t="str">
        <x:v>Rating</x:v>
      </x:c>
      <x:c r="K4" s="143" t="str">
        <x:v>Splunk TIME_FORMAT / Handling</x:v>
      </x:c>
      <x:c r="L4" s="144" t="str">
        <x:v>Assessment Notes</x:v>
      </x:c>
    </x:row>
    <x:row r="5" ht="72" customHeight="1">
      <x:c r="A5" s="186" t="str">
        <x:v>​2026-07-10T16:42:31.451Z</x:v>
      </x:c>
      <x:c r="B5" s="146" t="str">
        <x:v>ISO 8601 / RFC 3339 UTC</x:v>
      </x:c>
      <x:c r="C5" s="187" t="n">
        <x:v>4</x:v>
      </x:c>
      <x:c r="D5" s="187" t="n">
        <x:v>4</x:v>
      </x:c>
      <x:c r="E5" s="187" t="n">
        <x:v>4</x:v>
      </x:c>
      <x:c r="F5" s="187" t="n">
        <x:v>4</x:v>
      </x:c>
      <x:c r="G5" s="187" t="n">
        <x:v>4</x:v>
      </x:c>
      <x:c r="H5" s="187" t="n">
        <x:v>4</x:v>
      </x:c>
      <x:c r="I5" s="188" t="n">
        <x:f>SUM(C5:H5)</x:f>
        <x:v>24</x:v>
      </x:c>
      <x:c r="J5" s="188" t="str">
        <x:f>IF(I5&gt;=22,"Exceptional",IF(I5&gt;=18,"Good",IF(I5&gt;=13,"Fair",IF(I5&gt;=7,"Poor","Fail"))))</x:f>
        <x:v>Exceptional</x:v>
      </x:c>
      <x:c r="K5" s="146" t="str">
        <x:v>%Y-%m-%dT%H:%M:%S.%3NZ</x:v>
      </x:c>
      <x:c r="L5" s="149" t="str">
        <x:v>Preferred: explicit UTC, millisecond precision and unambiguous.</x:v>
      </x:c>
    </x:row>
    <x:row r="6" ht="72" customHeight="1">
      <x:c r="A6" s="186" t="str">
        <x:v>​2026-07-10T16:42:31.451+10:00</x:v>
      </x:c>
      <x:c r="B6" s="146" t="str">
        <x:v>ISO 8601 with offset</x:v>
      </x:c>
      <x:c r="C6" s="187" t="n">
        <x:v>4</x:v>
      </x:c>
      <x:c r="D6" s="187" t="n">
        <x:v>4</x:v>
      </x:c>
      <x:c r="E6" s="187" t="n">
        <x:v>4</x:v>
      </x:c>
      <x:c r="F6" s="187" t="n">
        <x:v>4</x:v>
      </x:c>
      <x:c r="G6" s="187" t="n">
        <x:v>4</x:v>
      </x:c>
      <x:c r="H6" s="187" t="n">
        <x:v>4</x:v>
      </x:c>
      <x:c r="I6" s="188" t="n">
        <x:f>SUM(C6:H6)</x:f>
        <x:v>24</x:v>
      </x:c>
      <x:c r="J6" s="188" t="str">
        <x:f>IF(I6&gt;=22,"Exceptional",IF(I6&gt;=18,"Good",IF(I6&gt;=13,"Fair",IF(I6&gt;=7,"Poor","Fail"))))</x:f>
        <x:v>Exceptional</x:v>
      </x:c>
      <x:c r="K6" s="146" t="str">
        <x:v>%Y-%m-%dT%H:%M:%S.%3N%:z</x:v>
      </x:c>
      <x:c r="L6" s="149" t="str">
        <x:v>Excellent when the offset is always present and correct.</x:v>
      </x:c>
    </x:row>
    <x:row r="7" ht="72" customHeight="1">
      <x:c r="A7" s="186" t="str">
        <x:v>​timestamp=2026-07-10T16:42:31.451+10:00</x:v>
      </x:c>
      <x:c r="B7" s="146" t="str">
        <x:v>Prefixed ISO 8601</x:v>
      </x:c>
      <x:c r="C7" s="187" t="n">
        <x:v>4</x:v>
      </x:c>
      <x:c r="D7" s="187" t="n">
        <x:v>4</x:v>
      </x:c>
      <x:c r="E7" s="187" t="n">
        <x:v>4</x:v>
      </x:c>
      <x:c r="F7" s="187" t="n">
        <x:v>4</x:v>
      </x:c>
      <x:c r="G7" s="187" t="n">
        <x:v>4</x:v>
      </x:c>
      <x:c r="H7" s="187" t="n">
        <x:v>3</x:v>
      </x:c>
      <x:c r="I7" s="188" t="n">
        <x:f>SUM(C7:H7)</x:f>
        <x:v>23</x:v>
      </x:c>
      <x:c r="J7" s="188" t="str">
        <x:f>IF(I7&gt;=22,"Exceptional",IF(I7&gt;=18,"Good",IF(I7&gt;=13,"Fair",IF(I7&gt;=7,"Poor","Fail"))))</x:f>
        <x:v>Exceptional</x:v>
      </x:c>
      <x:c r="K7" s="146" t="str">
        <x:v>TIME_PREFIX=timestamp=; TIME_FORMAT=%Y-%m-%dT%H:%M:%S.%3N%:z</x:v>
      </x:c>
      <x:c r="L7" s="149" t="str">
        <x:v>High quality; minor configuration may be needed to anchor the timestamp.</x:v>
      </x:c>
    </x:row>
    <x:row r="8" ht="72" customHeight="1">
      <x:c r="A8" s="186" t="str">
        <x:v>​2026-07-10 16:42:31 +1000</x:v>
      </x:c>
      <x:c r="B8" s="146" t="str">
        <x:v>Date/time with numeric offset</x:v>
      </x:c>
      <x:c r="C8" s="187" t="n">
        <x:v>4</x:v>
      </x:c>
      <x:c r="D8" s="187" t="n">
        <x:v>4</x:v>
      </x:c>
      <x:c r="E8" s="187" t="n">
        <x:v>2</x:v>
      </x:c>
      <x:c r="F8" s="187" t="n">
        <x:v>3</x:v>
      </x:c>
      <x:c r="G8" s="187" t="n">
        <x:v>4</x:v>
      </x:c>
      <x:c r="H8" s="187" t="n">
        <x:v>3</x:v>
      </x:c>
      <x:c r="I8" s="188" t="n">
        <x:f>SUM(C8:H8)</x:f>
        <x:v>20</x:v>
      </x:c>
      <x:c r="J8" s="188" t="str">
        <x:f>IF(I8&gt;=22,"Exceptional",IF(I8&gt;=18,"Good",IF(I8&gt;=13,"Fair",IF(I8&gt;=7,"Poor","Fail"))))</x:f>
        <x:v>Good</x:v>
      </x:c>
      <x:c r="K8" s="146" t="str">
        <x:v>%Y-%m-%d %H:%M:%S %z</x:v>
      </x:c>
      <x:c r="L8" s="149" t="str">
        <x:v>Clear offset but only second-level precision.</x:v>
      </x:c>
    </x:row>
    <x:row r="9" ht="72" customHeight="1">
      <x:c r="A9" s="186" t="str">
        <x:v>​2026-07-10 16:42:31</x:v>
      </x:c>
      <x:c r="B9" s="146" t="str">
        <x:v>Local date/time</x:v>
      </x:c>
      <x:c r="C9" s="187" t="n">
        <x:v>4</x:v>
      </x:c>
      <x:c r="D9" s="187" t="n">
        <x:v>2</x:v>
      </x:c>
      <x:c r="E9" s="187" t="n">
        <x:v>2</x:v>
      </x:c>
      <x:c r="F9" s="187" t="n">
        <x:v>2</x:v>
      </x:c>
      <x:c r="G9" s="187" t="n">
        <x:v>4</x:v>
      </x:c>
      <x:c r="H9" s="187" t="n">
        <x:v>2</x:v>
      </x:c>
      <x:c r="I9" s="188" t="n">
        <x:f>SUM(C9:H9)</x:f>
        <x:v>16</x:v>
      </x:c>
      <x:c r="J9" s="188" t="str">
        <x:f>IF(I9&gt;=22,"Exceptional",IF(I9&gt;=18,"Good",IF(I9&gt;=13,"Fair",IF(I9&gt;=7,"Poor","Fail"))))</x:f>
        <x:v>Fair</x:v>
      </x:c>
      <x:c r="K9" s="146" t="str">
        <x:v>%Y-%m-%d %H:%M:%S plus TZ setting</x:v>
      </x:c>
      <x:c r="L9" s="149" t="str">
        <x:v>Timezone must be supplied by the sourcetype, host or source context.</x:v>
      </x:c>
    </x:row>
    <x:row r="10" ht="72" customHeight="1">
      <x:c r="A10" s="186" t="str">
        <x:v>​Jul 10 16:42:31</x:v>
      </x:c>
      <x:c r="B10" s="146" t="str">
        <x:v>Traditional syslog timestamp</x:v>
      </x:c>
      <x:c r="C10" s="187" t="n">
        <x:v>4</x:v>
      </x:c>
      <x:c r="D10" s="187" t="n">
        <x:v>1</x:v>
      </x:c>
      <x:c r="E10" s="187" t="n">
        <x:v>2</x:v>
      </x:c>
      <x:c r="F10" s="187" t="n">
        <x:v>1</x:v>
      </x:c>
      <x:c r="G10" s="187" t="n">
        <x:v>4</x:v>
      </x:c>
      <x:c r="H10" s="187" t="n">
        <x:v>2</x:v>
      </x:c>
      <x:c r="I10" s="188" t="n">
        <x:f>SUM(C10:H10)</x:f>
        <x:v>14</x:v>
      </x:c>
      <x:c r="J10" s="188" t="str">
        <x:f>IF(I10&gt;=22,"Exceptional",IF(I10&gt;=18,"Good",IF(I10&gt;=13,"Fair",IF(I10&gt;=7,"Poor","Fail"))))</x:f>
        <x:v>Fair</x:v>
      </x:c>
      <x:c r="K10" s="146" t="str">
        <x:v>%b %d %H:%M:%S</x:v>
      </x:c>
      <x:c r="L10" s="149" t="str">
        <x:v>Year and timezone are inferred; New Year rollover and DST need attention.</x:v>
      </x:c>
    </x:row>
    <x:row r="11" ht="72" customHeight="1">
      <x:c r="A11" s="186" t="str">
        <x:v>​10/07/2026 16:42:31</x:v>
      </x:c>
      <x:c r="B11" s="146" t="str">
        <x:v>Regional numeric date</x:v>
      </x:c>
      <x:c r="C11" s="187" t="n">
        <x:v>3</x:v>
      </x:c>
      <x:c r="D11" s="187" t="n">
        <x:v>1</x:v>
      </x:c>
      <x:c r="E11" s="187" t="n">
        <x:v>2</x:v>
      </x:c>
      <x:c r="F11" s="187" t="n">
        <x:v>1</x:v>
      </x:c>
      <x:c r="G11" s="187" t="n">
        <x:v>4</x:v>
      </x:c>
      <x:c r="H11" s="187" t="n">
        <x:v>2</x:v>
      </x:c>
      <x:c r="I11" s="188" t="n">
        <x:f>SUM(C11:H11)</x:f>
        <x:v>13</x:v>
      </x:c>
      <x:c r="J11" s="188" t="str">
        <x:f>IF(I11&gt;=22,"Exceptional",IF(I11&gt;=18,"Good",IF(I11&gt;=13,"Fair",IF(I11&gt;=7,"Poor","Fail"))))</x:f>
        <x:v>Fair</x:v>
      </x:c>
      <x:c r="K11" s="146" t="str">
        <x:v>%d/%m/%Y %H:%M:%S</x:v>
      </x:c>
      <x:c r="L11" s="149" t="str">
        <x:v>Day/month order and timezone must be documented explicitly.</x:v>
      </x:c>
    </x:row>
    <x:row r="12" ht="72" customHeight="1">
      <x:c r="A12" s="186" t="str">
        <x:v>​07/10/26 04:42 PM</x:v>
      </x:c>
      <x:c r="B12" s="146" t="str">
        <x:v>Ambiguous short numeric date</x:v>
      </x:c>
      <x:c r="C12" s="187" t="n">
        <x:v>2</x:v>
      </x:c>
      <x:c r="D12" s="187" t="n">
        <x:v>0</x:v>
      </x:c>
      <x:c r="E12" s="187" t="n">
        <x:v>1</x:v>
      </x:c>
      <x:c r="F12" s="187" t="n">
        <x:v>1</x:v>
      </x:c>
      <x:c r="G12" s="187" t="n">
        <x:v>3</x:v>
      </x:c>
      <x:c r="H12" s="187" t="n">
        <x:v>1</x:v>
      </x:c>
      <x:c r="I12" s="188" t="n">
        <x:f>SUM(C12:H12)</x:f>
        <x:v>8</x:v>
      </x:c>
      <x:c r="J12" s="188" t="str">
        <x:f>IF(I12&gt;=22,"Exceptional",IF(I12&gt;=18,"Good",IF(I12&gt;=13,"Fair",IF(I12&gt;=7,"Poor","Fail"))))</x:f>
        <x:v>Poor</x:v>
      </x:c>
      <x:c r="K12" s="146" t="str">
        <x:v>%m/%d/%y %I:%M %p or %d/%m/%y...</x:v>
      </x:c>
      <x:c r="L12" s="149" t="str">
        <x:v>Ambiguous ordering, two-digit year and no timezone create material risk.</x:v>
      </x:c>
    </x:row>
    <x:row r="13" ht="72" customHeight="1">
      <x:c r="A13" s="186" t="str">
        <x:v>​1773040800123</x:v>
      </x:c>
      <x:c r="B13" s="146" t="str">
        <x:v>Unix epoch milliseconds</x:v>
      </x:c>
      <x:c r="C13" s="187" t="n">
        <x:v>4</x:v>
      </x:c>
      <x:c r="D13" s="187" t="n">
        <x:v>4</x:v>
      </x:c>
      <x:c r="E13" s="187" t="n">
        <x:v>4</x:v>
      </x:c>
      <x:c r="F13" s="187" t="n">
        <x:v>3</x:v>
      </x:c>
      <x:c r="G13" s="187" t="n">
        <x:v>4</x:v>
      </x:c>
      <x:c r="H13" s="187" t="n">
        <x:v>3</x:v>
      </x:c>
      <x:c r="I13" s="188" t="n">
        <x:f>SUM(C13:H13)</x:f>
        <x:v>22</x:v>
      </x:c>
      <x:c r="J13" s="188" t="str">
        <x:f>IF(I13&gt;=22,"Exceptional",IF(I13&gt;=18,"Good",IF(I13&gt;=13,"Fair",IF(I13&gt;=7,"Poor","Fail"))))</x:f>
        <x:v>Exceptional</x:v>
      </x:c>
      <x:c r="K13" s="146" t="str">
        <x:v>%s%3N or epoch-millisecond handling</x:v>
      </x:c>
      <x:c r="L13" s="149" t="str">
        <x:v>Precise and unambiguous when the unit is documented; not human-readable.</x:v>
      </x:c>
    </x:row>
    <x:row r="14" ht="72" customHeight="1">
      <x:c r="A14" s="186" t="str">
        <x:v>​134275008000000000</x:v>
      </x:c>
      <x:c r="B14" s="146" t="str">
        <x:v>Windows FILETIME</x:v>
      </x:c>
      <x:c r="C14" s="187" t="n">
        <x:v>4</x:v>
      </x:c>
      <x:c r="D14" s="187" t="n">
        <x:v>4</x:v>
      </x:c>
      <x:c r="E14" s="187" t="n">
        <x:v>4</x:v>
      </x:c>
      <x:c r="F14" s="187" t="n">
        <x:v>2</x:v>
      </x:c>
      <x:c r="G14" s="187" t="n">
        <x:v>4</x:v>
      </x:c>
      <x:c r="H14" s="187" t="n">
        <x:v>1</x:v>
      </x:c>
      <x:c r="I14" s="188" t="n">
        <x:f>SUM(C14:H14)</x:f>
        <x:v>19</x:v>
      </x:c>
      <x:c r="J14" s="188" t="str">
        <x:f>IF(I14&gt;=22,"Exceptional",IF(I14&gt;=18,"Good",IF(I14&gt;=13,"Fair",IF(I14&gt;=7,"Poor","Fail"))))</x:f>
        <x:v>Good</x:v>
      </x:c>
      <x:c r="K14" s="146" t="str">
        <x:v>Convert 100-nanosecond intervals since 1601 before or during ingestion</x:v>
      </x:c>
      <x:c r="L14" s="149" t="str">
        <x:v>Precise, but usually requires transformation before Splunk can use it reliably.</x:v>
      </x:c>
    </x:row>
    <x:row r="15" ht="72" customHeight="1">
      <x:c r="A15" s="186" t="str">
        <x:v>​&lt;34&gt;Jul 10 16:42:31 host app: message</x:v>
      </x:c>
      <x:c r="B15" s="146" t="str">
        <x:v>RFC 3164-style syslog event</x:v>
      </x:c>
      <x:c r="C15" s="187" t="n">
        <x:v>4</x:v>
      </x:c>
      <x:c r="D15" s="187" t="n">
        <x:v>1</x:v>
      </x:c>
      <x:c r="E15" s="187" t="n">
        <x:v>2</x:v>
      </x:c>
      <x:c r="F15" s="187" t="n">
        <x:v>1</x:v>
      </x:c>
      <x:c r="G15" s="187" t="n">
        <x:v>4</x:v>
      </x:c>
      <x:c r="H15" s="187" t="n">
        <x:v>3</x:v>
      </x:c>
      <x:c r="I15" s="188" t="n">
        <x:f>SUM(C15:H15)</x:f>
        <x:v>15</x:v>
      </x:c>
      <x:c r="J15" s="188" t="str">
        <x:f>IF(I15&gt;=22,"Exceptional",IF(I15&gt;=18,"Good",IF(I15&gt;=13,"Fair",IF(I15&gt;=7,"Poor","Fail"))))</x:f>
        <x:v>Fair</x:v>
      </x:c>
      <x:c r="K15" s="146" t="str">
        <x:v>%b %d %H:%M:%S with suitable TIME_PREFIX</x:v>
      </x:c>
      <x:c r="L15" s="149" t="str">
        <x:v>Often auto-parsed, but year and timezone remain inferred.</x:v>
      </x:c>
    </x:row>
    <x:row r="16" ht="72" customHeight="1">
      <x:c r="A16" s="189" t="str">
        <x:v>​No timestamp present</x:v>
      </x:c>
      <x:c r="B16" s="151" t="str">
        <x:v>Missing event timestamp</x:v>
      </x:c>
      <x:c r="C16" s="190" t="n">
        <x:v>0</x:v>
      </x:c>
      <x:c r="D16" s="190" t="n">
        <x:v>0</x:v>
      </x:c>
      <x:c r="E16" s="190" t="n">
        <x:v>0</x:v>
      </x:c>
      <x:c r="F16" s="190" t="n">
        <x:v>0</x:v>
      </x:c>
      <x:c r="G16" s="190" t="n">
        <x:v>0</x:v>
      </x:c>
      <x:c r="H16" s="190" t="n">
        <x:v>0</x:v>
      </x:c>
      <x:c r="I16" s="191" t="n">
        <x:f>SUM(C16:H16)</x:f>
        <x:v>0</x:v>
      </x:c>
      <x:c r="J16" s="191" t="str">
        <x:f>IF(I16&gt;=22,"Exceptional",IF(I16&gt;=18,"Good",IF(I16&gt;=13,"Fair",IF(I16&gt;=7,"Poor","Fail"))))</x:f>
        <x:v>Fail</x:v>
      </x:c>
      <x:c r="K16" s="151" t="str">
        <x:v>None</x:v>
      </x:c>
      <x:c r="L16" s="154" t="str">
        <x:v>Splunk may fall back to another timestamp or ingestion time; unsuitable for reliable correlation.</x:v>
      </x:c>
    </x:row>
  </x:sheetData>
  <x:mergeCells>
    <x:mergeCell ref="A1:L1"/>
    <x:mergeCell ref="A2:L2"/>
  </x:mergeCells>
  <x:conditionalFormatting sqref="C5:I16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J5:J16">
    <x:cfRule type="expression" dxfId="0" priority="2">
      <x:formula>J5="Exceptional"</x:formula>
    </x:cfRule>
    <x:cfRule type="expression" dxfId="1" priority="3">
      <x:formula>J5="Good"</x:formula>
    </x:cfRule>
    <x:cfRule type="expression" dxfId="2" priority="4">
      <x:formula>J5="Fair"</x:formula>
    </x:cfRule>
    <x:cfRule type="expression" dxfId="3" priority="5">
      <x:formula>J5="Poor"</x:formula>
    </x:cfRule>
    <x:cfRule type="expression" dxfId="4" priority="6">
      <x:formula>J5="Fail"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de05a2362c4ac1"/>
  </x:tableParts>
</x:worksheet>
</file>